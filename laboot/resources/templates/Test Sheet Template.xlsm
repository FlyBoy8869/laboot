
<file path=[Content_Types].xml><?xml version="1.0" encoding="utf-8"?>
<Types xmlns="http://schemas.openxmlformats.org/package/2006/content-types">
  <Default Extension="vml" ContentType="application/vnd.openxmlformats-officedocument.vmlDrawing"/>
  <Default Extension="emf" ContentType="image/x-e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900" windowHeight="8880" activeTab="1"/>
  </bookViews>
  <sheets>
    <sheet name="Collector" sheetId="1" r:id="rId1"/>
    <sheet name="Sensor(s)" sheetId="2" r:id="rId2"/>
  </sheets>
  <definedNames>
    <definedName name="AppCheckbox">"Check Box 1"</definedName>
    <definedName name="_xlnm.Print_Area" localSheetId="0">Collector!$B$1:$Z$42</definedName>
  </definedNames>
  <calcPr calcId="144525"/>
</workbook>
</file>

<file path=xl/sharedStrings.xml><?xml version="1.0" encoding="utf-8"?>
<sst xmlns="http://schemas.openxmlformats.org/spreadsheetml/2006/main" count="87">
  <si>
    <t>Test Equipment</t>
  </si>
  <si>
    <t>Collector Serial Number</t>
  </si>
  <si>
    <t>Collector Part Number</t>
  </si>
  <si>
    <t>Manufacturer</t>
  </si>
  <si>
    <t>Model</t>
  </si>
  <si>
    <t>Calibration ID</t>
  </si>
  <si>
    <t>Last Cal Date</t>
  </si>
  <si>
    <t>Cal Due Date</t>
  </si>
  <si>
    <t>Tested by:</t>
  </si>
  <si>
    <t>Date</t>
  </si>
  <si>
    <t>Quality Witness:</t>
  </si>
  <si>
    <t>Attachments</t>
  </si>
  <si>
    <t>Log Files</t>
  </si>
  <si>
    <t>Current Versions</t>
  </si>
  <si>
    <t>WiFi Verification Screenshot</t>
  </si>
  <si>
    <t>LineWatch App</t>
  </si>
  <si>
    <t>Serial Number Verification Screenshot</t>
  </si>
  <si>
    <t>Time/Date Screenshot</t>
  </si>
  <si>
    <t>Collector Software</t>
  </si>
  <si>
    <t>Customer Config Loaded</t>
  </si>
  <si>
    <t>Criteria</t>
  </si>
  <si>
    <t>Result</t>
  </si>
  <si>
    <t>Pass/Fail</t>
  </si>
  <si>
    <t>Pre-ATP Checklist complete? (1102186300)</t>
  </si>
  <si>
    <t>Untested</t>
  </si>
  <si>
    <t>Software Version Latest</t>
  </si>
  <si>
    <t>config.xml updated</t>
  </si>
  <si>
    <t>wpa_supplicant.conf updated</t>
  </si>
  <si>
    <t>WiFi Communicates with Collector</t>
  </si>
  <si>
    <t>PRD-1102191012 Tests</t>
  </si>
  <si>
    <t>Date &amp; Time accurate for UTC</t>
  </si>
  <si>
    <t>AC Voltage Measured Across L-N</t>
  </si>
  <si>
    <t>Voltage at least 13000</t>
  </si>
  <si>
    <t>DC Voltage Measured Across (+)/(-)</t>
  </si>
  <si>
    <t>Voltage Ride Through enabled</t>
  </si>
  <si>
    <t>AC Voltage Measured across (-) and N</t>
  </si>
  <si>
    <t>Super cap voltage</t>
  </si>
  <si>
    <t>Continuity From DC (-) to N</t>
  </si>
  <si>
    <t>Restore Defaults</t>
  </si>
  <si>
    <t>Continuity From Earth Terminals to GL2</t>
  </si>
  <si>
    <t>30 Second Ride Through</t>
  </si>
  <si>
    <t>Continuity From GL2 to GL1</t>
  </si>
  <si>
    <t>Continuity from Sheetmetal to GL2</t>
  </si>
  <si>
    <t>Criteria/
Reference</t>
  </si>
  <si>
    <t>Sensor 1</t>
  </si>
  <si>
    <t>Sensor 2</t>
  </si>
  <si>
    <t>Sensor 3</t>
  </si>
  <si>
    <t>Sensor 4</t>
  </si>
  <si>
    <t>Sensor 5</t>
  </si>
  <si>
    <t>Sensor 6</t>
  </si>
  <si>
    <t>Part Number</t>
  </si>
  <si>
    <t>n/a</t>
  </si>
  <si>
    <t>Revision</t>
  </si>
  <si>
    <t>Serial Number</t>
  </si>
  <si>
    <t>5A Startup</t>
  </si>
  <si>
    <t>25 min max allowed time</t>
  </si>
  <si>
    <t>Software Version</t>
  </si>
  <si>
    <t>See 1102198164</t>
  </si>
  <si>
    <t>Reporting Data</t>
  </si>
  <si>
    <t>RSSI Reported</t>
  </si>
  <si>
    <t>greater than -75</t>
  </si>
  <si>
    <t>Scale Raw Temp</t>
  </si>
  <si>
    <t>Offset Raw Temp</t>
  </si>
  <si>
    <t>Collector Calibration Factor</t>
  </si>
  <si>
    <t>voltageTempScale</t>
  </si>
  <si>
    <t>voltageTempOffset</t>
  </si>
  <si>
    <t>10K Fault Scale</t>
  </si>
  <si>
    <t>25K Fault Scale</t>
  </si>
  <si>
    <t>Calibrated</t>
  </si>
  <si>
    <t>Temperature ± 15C from ambient</t>
  </si>
  <si>
    <t>Positive Fault Current Measurement?</t>
  </si>
  <si>
    <t>Reference</t>
  </si>
  <si>
    <t>Voltage (V)</t>
  </si>
  <si>
    <t xml:space="preserve">Current (A) </t>
  </si>
  <si>
    <t>Power Factor</t>
  </si>
  <si>
    <t>0.9 lag</t>
  </si>
  <si>
    <t>Power (W)</t>
  </si>
  <si>
    <t>Results</t>
  </si>
  <si>
    <t>scaleCurrent</t>
  </si>
  <si>
    <t>scaleVoltage</t>
  </si>
  <si>
    <t>correctionAngle</t>
  </si>
  <si>
    <t>Compare reference</t>
  </si>
  <si>
    <t>All values persist?</t>
  </si>
  <si>
    <t>Log Files (Attach here)</t>
  </si>
  <si>
    <t>Watchdog.txt</t>
  </si>
  <si>
    <t>Sensorcomm.txt</t>
  </si>
  <si>
    <t>Updater.txt</t>
  </si>
</sst>
</file>

<file path=xl/styles.xml><?xml version="1.0" encoding="utf-8"?>
<styleSheet xmlns="http://schemas.openxmlformats.org/spreadsheetml/2006/main">
  <numFmts count="5">
    <numFmt numFmtId="176" formatCode="0.000"/>
    <numFmt numFmtId="44" formatCode="_(&quot;$&quot;* #,##0.00_);_(&quot;$&quot;* \(#,##0.00\);_(&quot;$&quot;* &quot;-&quot;??_);_(@_)"/>
    <numFmt numFmtId="177" formatCode="_ * #,##0.00_ ;_ * \-#,##0.00_ ;_ * &quot;-&quot;??_ ;_ @_ "/>
    <numFmt numFmtId="178" formatCode="_ * #,##0_ ;_ * \-#,##0_ ;_ * &quot;-&quot;_ ;_ @_ "/>
    <numFmt numFmtId="42" formatCode="_(&quot;$&quot;* #,##0_);_(&quot;$&quot;* \(#,##0\);_(&quot;$&quot;* &quot;-&quot;_);_(@_)"/>
  </numFmts>
  <fonts count="26">
    <font>
      <sz val="11"/>
      <color theme="1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u/>
      <sz val="11"/>
      <color theme="10"/>
      <name val="Calibri"/>
      <charset val="134"/>
      <scheme val="minor"/>
    </font>
    <font>
      <sz val="11"/>
      <color theme="1"/>
      <name val="Calibri"/>
      <charset val="134"/>
    </font>
    <font>
      <b/>
      <sz val="14"/>
      <color theme="1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sz val="11"/>
      <color rgb="FF9C65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8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</fills>
  <borders count="77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dashed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0" fontId="14" fillId="17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5" borderId="71" applyNumberFormat="0" applyAlignment="0" applyProtection="0">
      <alignment vertical="center"/>
    </xf>
    <xf numFmtId="0" fontId="17" fillId="0" borderId="72" applyNumberFormat="0" applyFill="0" applyAlignment="0" applyProtection="0">
      <alignment vertical="center"/>
    </xf>
    <xf numFmtId="0" fontId="0" fillId="18" borderId="73" applyNumberFormat="0" applyFont="0" applyAlignment="0" applyProtection="0">
      <alignment vertical="center"/>
    </xf>
    <xf numFmtId="0" fontId="7" fillId="0" borderId="0" applyNumberFormat="0" applyFill="0" applyBorder="0" applyAlignment="0" applyProtection="0"/>
    <xf numFmtId="0" fontId="15" fillId="29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8" fillId="0" borderId="72" applyNumberFormat="0" applyFill="0" applyAlignment="0" applyProtection="0">
      <alignment vertical="center"/>
    </xf>
    <xf numFmtId="0" fontId="12" fillId="0" borderId="76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5" fillId="32" borderId="69" applyNumberFormat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0" fillId="3" borderId="70" applyNumberFormat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9" fillId="3" borderId="69" applyNumberFormat="0" applyAlignment="0" applyProtection="0">
      <alignment vertical="center"/>
    </xf>
    <xf numFmtId="0" fontId="24" fillId="0" borderId="75" applyNumberFormat="0" applyFill="0" applyAlignment="0" applyProtection="0">
      <alignment vertical="center"/>
    </xf>
    <xf numFmtId="0" fontId="23" fillId="0" borderId="74" applyNumberFormat="0" applyFill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</cellStyleXfs>
  <cellXfs count="106">
    <xf numFmtId="0" fontId="0" fillId="0" borderId="0" xfId="0"/>
    <xf numFmtId="0" fontId="0" fillId="0" borderId="0" xfId="0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58" fontId="1" fillId="0" borderId="2" xfId="0" applyNumberFormat="1" applyFont="1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3" fillId="0" borderId="4" xfId="1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7" xfId="0" applyFont="1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</xf>
    <xf numFmtId="0" fontId="0" fillId="0" borderId="9" xfId="0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0" fontId="0" fillId="0" borderId="11" xfId="0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</xf>
    <xf numFmtId="0" fontId="2" fillId="0" borderId="5" xfId="0" applyFont="1" applyBorder="1" applyAlignment="1" applyProtection="1">
      <alignment horizontal="center" vertical="center" wrapText="1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5" fillId="0" borderId="14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18" xfId="0" applyFont="1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176" fontId="0" fillId="0" borderId="0" xfId="0" applyNumberFormat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horizontal="center" vertical="center" wrapText="1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horizontal="center" vertical="center" wrapText="1"/>
      <protection locked="0"/>
    </xf>
    <xf numFmtId="0" fontId="5" fillId="0" borderId="23" xfId="0" applyFont="1" applyBorder="1" applyAlignment="1" applyProtection="1">
      <alignment horizontal="center" vertical="center"/>
      <protection locked="0"/>
    </xf>
    <xf numFmtId="58" fontId="0" fillId="0" borderId="24" xfId="0" applyNumberForma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/>
      <protection locked="0"/>
    </xf>
    <xf numFmtId="0" fontId="5" fillId="0" borderId="29" xfId="0" applyFont="1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0" fontId="0" fillId="0" borderId="33" xfId="0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2" fillId="0" borderId="16" xfId="0" applyFont="1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37" xfId="0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6" fillId="0" borderId="38" xfId="0" applyFont="1" applyBorder="1" applyAlignment="1" applyProtection="1">
      <alignment horizontal="center" vertical="center"/>
      <protection locked="0"/>
    </xf>
    <xf numFmtId="0" fontId="6" fillId="0" borderId="39" xfId="0" applyFont="1" applyBorder="1" applyAlignment="1" applyProtection="1">
      <alignment horizontal="center" vertical="center"/>
      <protection locked="0"/>
    </xf>
    <xf numFmtId="0" fontId="6" fillId="0" borderId="40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41" xfId="0" applyBorder="1" applyAlignment="1" applyProtection="1">
      <alignment horizontal="center"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2" fillId="0" borderId="44" xfId="0" applyFont="1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49" xfId="0" applyBorder="1" applyAlignment="1" applyProtection="1">
      <alignment horizontal="center" vertical="center"/>
      <protection locked="0"/>
    </xf>
    <xf numFmtId="0" fontId="2" fillId="0" borderId="50" xfId="0" applyFont="1" applyBorder="1" applyAlignment="1" applyProtection="1">
      <alignment horizontal="center" vertical="center"/>
      <protection locked="0"/>
    </xf>
    <xf numFmtId="0" fontId="0" fillId="0" borderId="51" xfId="0" applyBorder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0" fontId="0" fillId="0" borderId="52" xfId="0" applyBorder="1" applyAlignment="1" applyProtection="1">
      <alignment horizontal="center" vertical="center"/>
      <protection locked="0"/>
    </xf>
    <xf numFmtId="0" fontId="0" fillId="0" borderId="53" xfId="0" applyBorder="1" applyAlignment="1" applyProtection="1">
      <alignment horizontal="center" vertical="center"/>
      <protection locked="0"/>
    </xf>
    <xf numFmtId="0" fontId="0" fillId="0" borderId="54" xfId="0" applyBorder="1" applyAlignment="1" applyProtection="1">
      <alignment horizontal="center" vertical="center"/>
      <protection locked="0"/>
    </xf>
    <xf numFmtId="0" fontId="0" fillId="0" borderId="55" xfId="0" applyBorder="1" applyAlignment="1" applyProtection="1">
      <alignment horizontal="center" vertical="center"/>
      <protection locked="0"/>
    </xf>
    <xf numFmtId="0" fontId="5" fillId="0" borderId="56" xfId="0" applyFont="1" applyBorder="1" applyAlignment="1" applyProtection="1">
      <alignment horizontal="center" vertical="center"/>
      <protection locked="0"/>
    </xf>
    <xf numFmtId="0" fontId="5" fillId="0" borderId="57" xfId="0" applyFont="1" applyBorder="1" applyAlignment="1" applyProtection="1">
      <alignment horizontal="center" vertical="center"/>
      <protection locked="0"/>
    </xf>
    <xf numFmtId="0" fontId="2" fillId="0" borderId="58" xfId="0" applyFont="1" applyBorder="1" applyAlignment="1" applyProtection="1">
      <alignment horizontal="center" vertical="center"/>
      <protection locked="0"/>
    </xf>
    <xf numFmtId="0" fontId="0" fillId="0" borderId="59" xfId="0" applyBorder="1" applyAlignment="1" applyProtection="1">
      <alignment horizontal="center" vertical="center" wrapText="1"/>
      <protection locked="0"/>
    </xf>
    <xf numFmtId="0" fontId="5" fillId="0" borderId="59" xfId="0" applyFont="1" applyBorder="1" applyAlignment="1" applyProtection="1">
      <alignment horizontal="center" vertical="center"/>
      <protection locked="0"/>
    </xf>
    <xf numFmtId="0" fontId="0" fillId="0" borderId="60" xfId="0" applyFont="1" applyBorder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 wrapText="1"/>
      <protection locked="0"/>
    </xf>
    <xf numFmtId="0" fontId="0" fillId="0" borderId="59" xfId="0" applyBorder="1" applyAlignment="1" applyProtection="1">
      <alignment horizontal="center" vertical="center"/>
      <protection locked="0"/>
    </xf>
    <xf numFmtId="0" fontId="0" fillId="0" borderId="60" xfId="0" applyBorder="1" applyAlignment="1" applyProtection="1">
      <alignment horizontal="center" vertical="center"/>
    </xf>
    <xf numFmtId="0" fontId="2" fillId="0" borderId="61" xfId="0" applyFont="1" applyBorder="1" applyAlignment="1" applyProtection="1">
      <alignment horizontal="center" vertical="center"/>
      <protection locked="0"/>
    </xf>
    <xf numFmtId="0" fontId="2" fillId="0" borderId="62" xfId="0" applyFont="1" applyBorder="1" applyAlignment="1" applyProtection="1">
      <alignment horizontal="center" vertical="center"/>
      <protection locked="0"/>
    </xf>
    <xf numFmtId="0" fontId="2" fillId="0" borderId="63" xfId="0" applyFont="1" applyBorder="1" applyAlignment="1" applyProtection="1">
      <alignment horizontal="center" vertical="center"/>
      <protection locked="0"/>
    </xf>
    <xf numFmtId="0" fontId="0" fillId="0" borderId="64" xfId="0" applyBorder="1" applyAlignment="1" applyProtection="1">
      <alignment horizontal="center" vertical="center" wrapText="1"/>
      <protection locked="0"/>
    </xf>
    <xf numFmtId="0" fontId="0" fillId="0" borderId="64" xfId="0" applyBorder="1" applyAlignment="1" applyProtection="1">
      <alignment horizontal="center" vertical="center"/>
      <protection locked="0"/>
    </xf>
    <xf numFmtId="0" fontId="0" fillId="0" borderId="65" xfId="0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  <protection locked="0"/>
    </xf>
    <xf numFmtId="0" fontId="0" fillId="0" borderId="66" xfId="0" applyBorder="1" applyAlignment="1" applyProtection="1">
      <alignment vertic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67" xfId="0" applyBorder="1" applyAlignment="1" applyProtection="1">
      <alignment horizontal="center" vertical="center"/>
      <protection locked="0"/>
    </xf>
    <xf numFmtId="0" fontId="2" fillId="0" borderId="68" xfId="0" applyFont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dxfs count="4"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  <strike val="0"/>
      </font>
      <numFmt numFmtId="49" formatCode="@"/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12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7" Type="http://schemas.openxmlformats.org/officeDocument/2006/relationships/image" Target="../media/image7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411480</xdr:colOff>
          <xdr:row>18</xdr:row>
          <xdr:rowOff>68580</xdr:rowOff>
        </xdr:from>
        <xdr:to>
          <xdr:col>2</xdr:col>
          <xdr:colOff>952500</xdr:colOff>
          <xdr:row>18</xdr:row>
          <xdr:rowOff>525780</xdr:rowOff>
        </xdr:to>
        <xdr:sp>
          <xdr:nvSpPr>
            <xdr:cNvPr id="1030" name="AtpChec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2770505" y="4891405"/>
              <a:ext cx="541020" cy="4572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20</xdr:row>
          <xdr:rowOff>449580</xdr:rowOff>
        </xdr:from>
        <xdr:to>
          <xdr:col>5</xdr:col>
          <xdr:colOff>1173480</xdr:colOff>
          <xdr:row>22</xdr:row>
          <xdr:rowOff>350520</xdr:rowOff>
        </xdr:to>
        <xdr:sp>
          <xdr:nvSpPr>
            <xdr:cNvPr id="1031" name="ResetButton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4617085" y="6009005"/>
              <a:ext cx="2012315" cy="76454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403860</xdr:colOff>
          <xdr:row>19</xdr:row>
          <xdr:rowOff>60960</xdr:rowOff>
        </xdr:from>
        <xdr:to>
          <xdr:col>2</xdr:col>
          <xdr:colOff>1135380</xdr:colOff>
          <xdr:row>20</xdr:row>
          <xdr:rowOff>167640</xdr:rowOff>
        </xdr:to>
        <xdr:sp>
          <xdr:nvSpPr>
            <xdr:cNvPr id="1032" name="SoftwareCheck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2762885" y="5436235"/>
              <a:ext cx="731520" cy="29083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388620</xdr:colOff>
          <xdr:row>20</xdr:row>
          <xdr:rowOff>38100</xdr:rowOff>
        </xdr:from>
        <xdr:to>
          <xdr:col>2</xdr:col>
          <xdr:colOff>1158240</xdr:colOff>
          <xdr:row>20</xdr:row>
          <xdr:rowOff>350520</xdr:rowOff>
        </xdr:to>
        <xdr:sp>
          <xdr:nvSpPr>
            <xdr:cNvPr id="1033" name="ConfigCheck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2747645" y="5597525"/>
              <a:ext cx="769620" cy="31242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21</xdr:row>
          <xdr:rowOff>22860</xdr:rowOff>
        </xdr:from>
        <xdr:to>
          <xdr:col>2</xdr:col>
          <xdr:colOff>1150620</xdr:colOff>
          <xdr:row>21</xdr:row>
          <xdr:rowOff>335280</xdr:rowOff>
        </xdr:to>
        <xdr:sp>
          <xdr:nvSpPr>
            <xdr:cNvPr id="1034" name="SuppCheck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2740025" y="6068060"/>
              <a:ext cx="769620" cy="31242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22</xdr:row>
          <xdr:rowOff>38100</xdr:rowOff>
        </xdr:from>
        <xdr:to>
          <xdr:col>2</xdr:col>
          <xdr:colOff>1143000</xdr:colOff>
          <xdr:row>22</xdr:row>
          <xdr:rowOff>350520</xdr:rowOff>
        </xdr:to>
        <xdr:sp>
          <xdr:nvSpPr>
            <xdr:cNvPr id="1035" name="WifiCheck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2732405" y="6461125"/>
              <a:ext cx="769620" cy="31242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403860</xdr:colOff>
          <xdr:row>23</xdr:row>
          <xdr:rowOff>22860</xdr:rowOff>
        </xdr:from>
        <xdr:to>
          <xdr:col>2</xdr:col>
          <xdr:colOff>1173480</xdr:colOff>
          <xdr:row>23</xdr:row>
          <xdr:rowOff>335280</xdr:rowOff>
        </xdr:to>
        <xdr:sp>
          <xdr:nvSpPr>
            <xdr:cNvPr id="1036" name="TimeChec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2762885" y="6814185"/>
              <a:ext cx="769620" cy="31242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24</xdr:row>
          <xdr:rowOff>30480</xdr:rowOff>
        </xdr:from>
        <xdr:to>
          <xdr:col>2</xdr:col>
          <xdr:colOff>1150620</xdr:colOff>
          <xdr:row>24</xdr:row>
          <xdr:rowOff>426720</xdr:rowOff>
        </xdr:to>
        <xdr:sp>
          <xdr:nvSpPr>
            <xdr:cNvPr id="1037" name="VoltCheck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2740025" y="7190105"/>
              <a:ext cx="769620" cy="39624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25</xdr:row>
          <xdr:rowOff>22860</xdr:rowOff>
        </xdr:from>
        <xdr:to>
          <xdr:col>2</xdr:col>
          <xdr:colOff>1150620</xdr:colOff>
          <xdr:row>25</xdr:row>
          <xdr:rowOff>434340</xdr:rowOff>
        </xdr:to>
        <xdr:sp>
          <xdr:nvSpPr>
            <xdr:cNvPr id="1038" name="VrtCheck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2740025" y="7630160"/>
              <a:ext cx="769620" cy="4114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381000</xdr:rowOff>
        </xdr:from>
        <xdr:to>
          <xdr:col>6</xdr:col>
          <xdr:colOff>716280</xdr:colOff>
          <xdr:row>19</xdr:row>
          <xdr:rowOff>22860</xdr:rowOff>
        </xdr:to>
        <xdr:sp>
          <xdr:nvSpPr>
            <xdr:cNvPr id="1040" name="ResultsButton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5455920" y="4813300"/>
              <a:ext cx="1973580" cy="58483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350520</xdr:colOff>
          <xdr:row>27</xdr:row>
          <xdr:rowOff>60960</xdr:rowOff>
        </xdr:from>
        <xdr:to>
          <xdr:col>2</xdr:col>
          <xdr:colOff>1066800</xdr:colOff>
          <xdr:row>27</xdr:row>
          <xdr:rowOff>320040</xdr:rowOff>
        </xdr:to>
        <xdr:sp>
          <xdr:nvSpPr>
            <xdr:cNvPr id="1041" name="DefaultCheck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2709545" y="8554085"/>
              <a:ext cx="716280" cy="2590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28</xdr:row>
          <xdr:rowOff>99060</xdr:rowOff>
        </xdr:from>
        <xdr:to>
          <xdr:col>2</xdr:col>
          <xdr:colOff>1059180</xdr:colOff>
          <xdr:row>29</xdr:row>
          <xdr:rowOff>167640</xdr:rowOff>
        </xdr:to>
        <xdr:sp>
          <xdr:nvSpPr>
            <xdr:cNvPr id="1042" name="RideCheck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2701925" y="8944610"/>
              <a:ext cx="716280" cy="26225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emf"/><Relationship Id="rId7" Type="http://schemas.openxmlformats.org/officeDocument/2006/relationships/control" Target="../activeX/activeX3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Relationship Id="rId3" Type="http://schemas.openxmlformats.org/officeDocument/2006/relationships/control" Target="../activeX/activeX1.xml"/><Relationship Id="rId22" Type="http://schemas.openxmlformats.org/officeDocument/2006/relationships/control" Target="../activeX/activeX12.xml"/><Relationship Id="rId21" Type="http://schemas.openxmlformats.org/officeDocument/2006/relationships/image" Target="../media/image8.emf"/><Relationship Id="rId20" Type="http://schemas.openxmlformats.org/officeDocument/2006/relationships/control" Target="../activeX/activeX11.xml"/><Relationship Id="rId2" Type="http://schemas.openxmlformats.org/officeDocument/2006/relationships/vmlDrawing" Target="../drawings/vmlDrawing1.vml"/><Relationship Id="rId19" Type="http://schemas.openxmlformats.org/officeDocument/2006/relationships/image" Target="../media/image7.emf"/><Relationship Id="rId18" Type="http://schemas.openxmlformats.org/officeDocument/2006/relationships/control" Target="../activeX/activeX10.xml"/><Relationship Id="rId17" Type="http://schemas.openxmlformats.org/officeDocument/2006/relationships/image" Target="../media/image6.emf"/><Relationship Id="rId16" Type="http://schemas.openxmlformats.org/officeDocument/2006/relationships/control" Target="../activeX/activeX9.xml"/><Relationship Id="rId15" Type="http://schemas.openxmlformats.org/officeDocument/2006/relationships/image" Target="../media/image5.emf"/><Relationship Id="rId14" Type="http://schemas.openxmlformats.org/officeDocument/2006/relationships/control" Target="../activeX/activeX8.xml"/><Relationship Id="rId13" Type="http://schemas.openxmlformats.org/officeDocument/2006/relationships/control" Target="../activeX/activeX7.xml"/><Relationship Id="rId12" Type="http://schemas.openxmlformats.org/officeDocument/2006/relationships/control" Target="../activeX/activeX6.xml"/><Relationship Id="rId11" Type="http://schemas.openxmlformats.org/officeDocument/2006/relationships/control" Target="../activeX/activeX5.xml"/><Relationship Id="rId10" Type="http://schemas.openxmlformats.org/officeDocument/2006/relationships/image" Target="../media/image4.emf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192.168.1.1/index.php/main/advanced_confi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188"/>
  <sheetViews>
    <sheetView workbookViewId="0">
      <selection activeCell="K18" sqref="K18"/>
    </sheetView>
  </sheetViews>
  <sheetFormatPr defaultColWidth="9.10909090909091" defaultRowHeight="14.5"/>
  <cols>
    <col min="1" max="1" width="13.1090909090909" style="30" customWidth="1"/>
    <col min="2" max="2" width="20.6636363636364" style="30" customWidth="1"/>
    <col min="3" max="3" width="17.8909090909091" style="30" customWidth="1"/>
    <col min="4" max="4" width="13.8909090909091" style="30" customWidth="1"/>
    <col min="5" max="5" width="12.5545454545455" style="30" customWidth="1"/>
    <col min="6" max="6" width="18" style="30" customWidth="1"/>
    <col min="7" max="7" width="11.4454545454545" style="30" customWidth="1"/>
    <col min="8" max="8" width="36.1090909090909" style="30" customWidth="1"/>
    <col min="9" max="9" width="10.4454545454545" style="30" customWidth="1"/>
    <col min="10" max="10" width="17.4454545454545" style="30" customWidth="1"/>
    <col min="11" max="11" width="20.3363636363636" style="30" customWidth="1"/>
    <col min="12" max="13" width="10.4454545454545" style="30" customWidth="1"/>
    <col min="14" max="15" width="9.10909090909091" style="30"/>
    <col min="16" max="16" width="9.10909090909091" style="30" hidden="1" customWidth="1"/>
    <col min="17" max="16384" width="9.10909090909091" style="30"/>
  </cols>
  <sheetData>
    <row r="1" ht="19.25" spans="1:10">
      <c r="A1" s="43" t="s">
        <v>0</v>
      </c>
      <c r="B1" s="44"/>
      <c r="C1" s="44"/>
      <c r="D1" s="44"/>
      <c r="E1" s="45"/>
      <c r="G1" s="26" t="s">
        <v>1</v>
      </c>
      <c r="H1" s="38"/>
      <c r="I1" s="26" t="s">
        <v>2</v>
      </c>
      <c r="J1" s="38"/>
    </row>
    <row r="2" spans="1:10">
      <c r="A2" s="46" t="s">
        <v>3</v>
      </c>
      <c r="B2" s="47" t="s">
        <v>4</v>
      </c>
      <c r="C2" s="47" t="s">
        <v>5</v>
      </c>
      <c r="D2" s="47" t="s">
        <v>6</v>
      </c>
      <c r="E2" s="48" t="s">
        <v>7</v>
      </c>
      <c r="G2" s="49"/>
      <c r="H2" s="50"/>
      <c r="I2" s="49"/>
      <c r="J2" s="50"/>
    </row>
    <row r="3" ht="15.25" spans="1:10">
      <c r="A3" s="46"/>
      <c r="B3" s="47"/>
      <c r="C3" s="47"/>
      <c r="D3" s="47"/>
      <c r="E3" s="48"/>
      <c r="G3" s="51"/>
      <c r="H3" s="52"/>
      <c r="I3" s="51"/>
      <c r="J3" s="52"/>
    </row>
    <row r="4" ht="30.75" customHeight="1" spans="1:11">
      <c r="A4" s="46"/>
      <c r="B4" s="47"/>
      <c r="C4" s="47"/>
      <c r="D4" s="47"/>
      <c r="E4" s="48"/>
      <c r="G4" s="53"/>
      <c r="H4" s="27" t="s">
        <v>8</v>
      </c>
      <c r="I4" s="27"/>
      <c r="J4" s="27"/>
      <c r="K4" s="38" t="s">
        <v>9</v>
      </c>
    </row>
    <row r="5" ht="30.75" customHeight="1" spans="1:11">
      <c r="A5" s="46"/>
      <c r="B5" s="47"/>
      <c r="C5" s="47"/>
      <c r="D5" s="47"/>
      <c r="E5" s="48"/>
      <c r="G5" s="54"/>
      <c r="H5" s="29"/>
      <c r="I5" s="29"/>
      <c r="J5" s="29"/>
      <c r="K5" s="100"/>
    </row>
    <row r="6" ht="30.75" customHeight="1" spans="1:5">
      <c r="A6" s="46"/>
      <c r="B6" s="47"/>
      <c r="C6" s="47"/>
      <c r="D6" s="47"/>
      <c r="E6" s="48"/>
    </row>
    <row r="7" ht="30.75" customHeight="1" spans="1:11">
      <c r="A7" s="46"/>
      <c r="B7" s="47"/>
      <c r="C7" s="47"/>
      <c r="D7" s="47"/>
      <c r="E7" s="48"/>
      <c r="G7" s="53"/>
      <c r="H7" s="27" t="s">
        <v>10</v>
      </c>
      <c r="I7" s="27"/>
      <c r="J7" s="27"/>
      <c r="K7" s="38" t="s">
        <v>9</v>
      </c>
    </row>
    <row r="8" ht="30.75" customHeight="1" spans="1:11">
      <c r="A8" s="46"/>
      <c r="B8" s="47"/>
      <c r="C8" s="47"/>
      <c r="D8" s="47"/>
      <c r="E8" s="48"/>
      <c r="G8" s="54"/>
      <c r="H8" s="29"/>
      <c r="I8" s="29"/>
      <c r="J8" s="29"/>
      <c r="K8" s="100"/>
    </row>
    <row r="9" ht="16" spans="1:5">
      <c r="A9" s="46"/>
      <c r="B9" s="47"/>
      <c r="C9" s="47"/>
      <c r="D9" s="47"/>
      <c r="E9" s="48"/>
    </row>
    <row r="10" ht="19.25" spans="1:9">
      <c r="A10" s="55"/>
      <c r="B10" s="56"/>
      <c r="C10" s="56"/>
      <c r="D10" s="56"/>
      <c r="E10" s="57"/>
      <c r="G10" s="58" t="s">
        <v>11</v>
      </c>
      <c r="H10" s="59"/>
      <c r="I10" s="101"/>
    </row>
    <row r="11" ht="15.25" spans="1:9">
      <c r="A11" s="60"/>
      <c r="B11" s="60"/>
      <c r="C11" s="60"/>
      <c r="D11" s="60"/>
      <c r="E11" s="60"/>
      <c r="G11" s="61">
        <v>14</v>
      </c>
      <c r="H11" s="47" t="s">
        <v>12</v>
      </c>
      <c r="I11" s="102"/>
    </row>
    <row r="12" ht="21" spans="1:9">
      <c r="A12" s="62" t="s">
        <v>13</v>
      </c>
      <c r="B12" s="63"/>
      <c r="C12" s="63"/>
      <c r="D12" s="63"/>
      <c r="E12" s="64"/>
      <c r="G12" s="61">
        <v>15</v>
      </c>
      <c r="H12" s="60" t="s">
        <v>14</v>
      </c>
      <c r="I12" s="102"/>
    </row>
    <row r="13" spans="1:9">
      <c r="A13" s="65">
        <v>2</v>
      </c>
      <c r="B13" s="66" t="s">
        <v>15</v>
      </c>
      <c r="C13" s="67"/>
      <c r="D13" s="68"/>
      <c r="E13" s="69"/>
      <c r="G13" s="61">
        <v>16</v>
      </c>
      <c r="H13" s="47" t="s">
        <v>16</v>
      </c>
      <c r="I13" s="102"/>
    </row>
    <row r="14" spans="1:9">
      <c r="A14" s="70"/>
      <c r="B14" s="71"/>
      <c r="C14" s="72"/>
      <c r="D14" s="73"/>
      <c r="E14" s="74"/>
      <c r="G14" s="61">
        <v>17</v>
      </c>
      <c r="H14" s="47" t="s">
        <v>17</v>
      </c>
      <c r="I14" s="102"/>
    </row>
    <row r="15" ht="15.25" spans="1:9">
      <c r="A15" s="65">
        <v>3</v>
      </c>
      <c r="B15" s="66" t="s">
        <v>18</v>
      </c>
      <c r="C15" s="75"/>
      <c r="D15" s="60"/>
      <c r="E15" s="76"/>
      <c r="G15" s="77">
        <v>18</v>
      </c>
      <c r="H15" s="78" t="s">
        <v>19</v>
      </c>
      <c r="I15" s="103"/>
    </row>
    <row r="16" ht="15.25" spans="1:5">
      <c r="A16" s="79"/>
      <c r="B16" s="78"/>
      <c r="C16" s="80"/>
      <c r="D16" s="81"/>
      <c r="E16" s="82"/>
    </row>
    <row r="17" ht="15.25"/>
    <row r="18" ht="30.75" customHeight="1" spans="1:4">
      <c r="A18" s="83"/>
      <c r="B18" s="84" t="s">
        <v>20</v>
      </c>
      <c r="C18" s="84" t="s">
        <v>21</v>
      </c>
      <c r="D18" s="85" t="s">
        <v>22</v>
      </c>
    </row>
    <row r="19" ht="43.5" spans="1:16">
      <c r="A19" s="86">
        <v>1</v>
      </c>
      <c r="B19" s="87" t="s">
        <v>23</v>
      </c>
      <c r="C19" s="88"/>
      <c r="D19" s="89" t="s">
        <v>24</v>
      </c>
      <c r="F19" s="90"/>
      <c r="G19" s="90"/>
      <c r="P19" s="30">
        <f>COUNTIF(D19:D28,"Pass")</f>
        <v>0</v>
      </c>
    </row>
    <row r="20" spans="1:4">
      <c r="A20" s="86">
        <v>4</v>
      </c>
      <c r="B20" s="87" t="s">
        <v>25</v>
      </c>
      <c r="C20" s="91"/>
      <c r="D20" s="92" t="s">
        <v>24</v>
      </c>
    </row>
    <row r="21" ht="38.25" customHeight="1" spans="1:4">
      <c r="A21" s="86">
        <v>5</v>
      </c>
      <c r="B21" s="87" t="s">
        <v>26</v>
      </c>
      <c r="C21" s="91"/>
      <c r="D21" s="92" t="s">
        <v>24</v>
      </c>
    </row>
    <row r="22" ht="29.75" spans="1:4">
      <c r="A22" s="86">
        <v>6</v>
      </c>
      <c r="B22" s="87" t="s">
        <v>27</v>
      </c>
      <c r="C22" s="91"/>
      <c r="D22" s="92" t="s">
        <v>24</v>
      </c>
    </row>
    <row r="23" ht="29" spans="1:9">
      <c r="A23" s="86">
        <v>7</v>
      </c>
      <c r="B23" s="87" t="s">
        <v>28</v>
      </c>
      <c r="C23" s="91"/>
      <c r="D23" s="92" t="s">
        <v>24</v>
      </c>
      <c r="G23" s="93" t="s">
        <v>29</v>
      </c>
      <c r="H23" s="94"/>
      <c r="I23" s="104"/>
    </row>
    <row r="24" ht="29" spans="1:9">
      <c r="A24" s="86">
        <v>8</v>
      </c>
      <c r="B24" s="87" t="s">
        <v>30</v>
      </c>
      <c r="C24" s="91"/>
      <c r="D24" s="92" t="s">
        <v>24</v>
      </c>
      <c r="G24" s="61">
        <v>19</v>
      </c>
      <c r="H24" s="47" t="s">
        <v>31</v>
      </c>
      <c r="I24" s="102"/>
    </row>
    <row r="25" ht="35.25" customHeight="1" spans="1:9">
      <c r="A25" s="86">
        <v>9</v>
      </c>
      <c r="B25" s="87" t="s">
        <v>32</v>
      </c>
      <c r="C25" s="91"/>
      <c r="D25" s="92" t="s">
        <v>24</v>
      </c>
      <c r="G25" s="61">
        <v>20</v>
      </c>
      <c r="H25" s="47" t="s">
        <v>33</v>
      </c>
      <c r="I25" s="102"/>
    </row>
    <row r="26" ht="36" customHeight="1" spans="1:9">
      <c r="A26" s="86">
        <v>10</v>
      </c>
      <c r="B26" s="87" t="s">
        <v>34</v>
      </c>
      <c r="C26" s="91"/>
      <c r="D26" s="92" t="s">
        <v>24</v>
      </c>
      <c r="G26" s="61">
        <v>21</v>
      </c>
      <c r="H26" s="47" t="s">
        <v>35</v>
      </c>
      <c r="I26" s="102"/>
    </row>
    <row r="27" ht="33.75" customHeight="1" spans="1:9">
      <c r="A27" s="86">
        <v>11</v>
      </c>
      <c r="B27" s="87" t="s">
        <v>36</v>
      </c>
      <c r="C27" s="91"/>
      <c r="D27" s="92" t="s">
        <v>24</v>
      </c>
      <c r="G27" s="61">
        <v>22</v>
      </c>
      <c r="H27" s="47" t="s">
        <v>37</v>
      </c>
      <c r="I27" s="102"/>
    </row>
    <row r="28" ht="27.75" customHeight="1" spans="1:9">
      <c r="A28" s="86">
        <v>12</v>
      </c>
      <c r="B28" s="87" t="s">
        <v>38</v>
      </c>
      <c r="C28" s="91"/>
      <c r="D28" s="92" t="s">
        <v>24</v>
      </c>
      <c r="G28" s="61">
        <v>23</v>
      </c>
      <c r="H28" s="47" t="s">
        <v>39</v>
      </c>
      <c r="I28" s="102"/>
    </row>
    <row r="29" ht="15.25" spans="1:9">
      <c r="A29" s="95">
        <v>13</v>
      </c>
      <c r="B29" s="96" t="s">
        <v>40</v>
      </c>
      <c r="C29" s="97"/>
      <c r="D29" s="98" t="s">
        <v>24</v>
      </c>
      <c r="G29" s="61">
        <v>24</v>
      </c>
      <c r="H29" s="47" t="s">
        <v>41</v>
      </c>
      <c r="I29" s="102"/>
    </row>
    <row r="30" ht="15.25" spans="2:9">
      <c r="B30" s="1"/>
      <c r="G30" s="99">
        <v>25</v>
      </c>
      <c r="H30" s="56" t="s">
        <v>42</v>
      </c>
      <c r="I30" s="105"/>
    </row>
    <row r="31" spans="2:2">
      <c r="B31" s="1"/>
    </row>
    <row r="32" spans="2:2">
      <c r="B32" s="1"/>
    </row>
    <row r="33" spans="2:2">
      <c r="B33" s="1"/>
    </row>
    <row r="34" spans="2:2">
      <c r="B34" s="1"/>
    </row>
    <row r="35" spans="2:2">
      <c r="B35" s="1"/>
    </row>
    <row r="36" spans="2:2">
      <c r="B36" s="1"/>
    </row>
    <row r="37" spans="2:2">
      <c r="B37" s="1"/>
    </row>
    <row r="38" spans="2:2">
      <c r="B38" s="1"/>
    </row>
    <row r="39" spans="2:2">
      <c r="B39" s="1"/>
    </row>
    <row r="40" spans="2:2">
      <c r="B40" s="1"/>
    </row>
    <row r="41" spans="2:2">
      <c r="B41" s="1"/>
    </row>
    <row r="42" spans="2:2">
      <c r="B42" s="1"/>
    </row>
    <row r="43" spans="2:2">
      <c r="B43" s="1"/>
    </row>
    <row r="44" spans="2:2">
      <c r="B44" s="1"/>
    </row>
    <row r="45" spans="2:2">
      <c r="B45" s="1"/>
    </row>
    <row r="46" spans="2:2">
      <c r="B46" s="1"/>
    </row>
    <row r="47" spans="2:2">
      <c r="B47" s="1"/>
    </row>
    <row r="48" spans="2:2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  <row r="95" spans="2:2">
      <c r="B95" s="1"/>
    </row>
    <row r="96" spans="2:2">
      <c r="B96" s="1"/>
    </row>
    <row r="97" spans="2:2">
      <c r="B97" s="1"/>
    </row>
    <row r="98" spans="2:2">
      <c r="B98" s="1"/>
    </row>
    <row r="99" spans="2:2">
      <c r="B99" s="1"/>
    </row>
    <row r="100" spans="2:2">
      <c r="B100" s="1"/>
    </row>
    <row r="101" spans="2:2">
      <c r="B101" s="1"/>
    </row>
    <row r="102" spans="2:2">
      <c r="B102" s="1"/>
    </row>
    <row r="103" spans="2:2">
      <c r="B103" s="1"/>
    </row>
    <row r="104" spans="2:2">
      <c r="B104" s="1"/>
    </row>
    <row r="105" spans="2:2">
      <c r="B105" s="1"/>
    </row>
    <row r="106" spans="2:2">
      <c r="B106" s="1"/>
    </row>
    <row r="107" spans="2:2">
      <c r="B107" s="1"/>
    </row>
    <row r="108" spans="2:2">
      <c r="B108" s="1"/>
    </row>
    <row r="109" spans="2:2">
      <c r="B109" s="1"/>
    </row>
    <row r="110" spans="2:2">
      <c r="B110" s="1"/>
    </row>
    <row r="111" spans="2:2">
      <c r="B111" s="1"/>
    </row>
    <row r="112" spans="2:2">
      <c r="B112" s="1"/>
    </row>
    <row r="113" spans="2:2">
      <c r="B113" s="1"/>
    </row>
    <row r="114" spans="2:2">
      <c r="B114" s="1"/>
    </row>
    <row r="115" spans="2:2">
      <c r="B115" s="1"/>
    </row>
    <row r="116" spans="2:2">
      <c r="B116" s="1"/>
    </row>
    <row r="117" spans="2:2">
      <c r="B117" s="1"/>
    </row>
    <row r="118" spans="2:2">
      <c r="B118" s="1"/>
    </row>
    <row r="119" spans="2:2">
      <c r="B119" s="1"/>
    </row>
    <row r="120" spans="2:2">
      <c r="B120" s="1"/>
    </row>
    <row r="121" spans="2:2">
      <c r="B121" s="1"/>
    </row>
    <row r="122" spans="2:2">
      <c r="B122" s="1"/>
    </row>
    <row r="123" spans="2:2">
      <c r="B123" s="1"/>
    </row>
    <row r="124" spans="2:2">
      <c r="B124" s="1"/>
    </row>
    <row r="125" spans="2:2">
      <c r="B125" s="1"/>
    </row>
    <row r="126" spans="2:2">
      <c r="B126" s="1"/>
    </row>
    <row r="127" spans="2:2">
      <c r="B127" s="1"/>
    </row>
    <row r="128" spans="2:2">
      <c r="B128" s="1"/>
    </row>
    <row r="129" spans="2:2">
      <c r="B129" s="1"/>
    </row>
    <row r="130" spans="2:2">
      <c r="B130" s="1"/>
    </row>
    <row r="131" spans="2:2">
      <c r="B131" s="1"/>
    </row>
    <row r="132" spans="2:2">
      <c r="B132" s="1"/>
    </row>
    <row r="133" spans="2:2">
      <c r="B133" s="1"/>
    </row>
    <row r="134" spans="2:2">
      <c r="B134" s="1"/>
    </row>
    <row r="135" spans="2:2">
      <c r="B135" s="1"/>
    </row>
    <row r="136" spans="2:2">
      <c r="B136" s="1"/>
    </row>
    <row r="137" spans="2:2">
      <c r="B137" s="1"/>
    </row>
    <row r="138" spans="2:2">
      <c r="B138" s="1"/>
    </row>
    <row r="139" spans="2:2">
      <c r="B139" s="1"/>
    </row>
    <row r="140" spans="2:2">
      <c r="B140" s="1"/>
    </row>
    <row r="141" spans="2:2">
      <c r="B141" s="1"/>
    </row>
    <row r="142" spans="2:2">
      <c r="B142" s="1"/>
    </row>
    <row r="143" spans="2:2">
      <c r="B143" s="1"/>
    </row>
    <row r="144" spans="2:2">
      <c r="B144" s="1"/>
    </row>
    <row r="145" spans="2:2">
      <c r="B145" s="1"/>
    </row>
    <row r="146" spans="2:2">
      <c r="B146" s="1"/>
    </row>
    <row r="147" spans="2:2">
      <c r="B147" s="1"/>
    </row>
    <row r="148" spans="2:2">
      <c r="B148" s="1"/>
    </row>
    <row r="149" spans="2:2">
      <c r="B149" s="1"/>
    </row>
    <row r="150" spans="2:2">
      <c r="B150" s="1"/>
    </row>
    <row r="151" spans="2:2">
      <c r="B151" s="1"/>
    </row>
    <row r="152" spans="2:2">
      <c r="B152" s="1"/>
    </row>
    <row r="153" spans="2:2">
      <c r="B153" s="1"/>
    </row>
    <row r="154" spans="2:2">
      <c r="B154" s="1"/>
    </row>
    <row r="155" spans="2:2">
      <c r="B155" s="1"/>
    </row>
    <row r="156" spans="2:2">
      <c r="B156" s="1"/>
    </row>
    <row r="157" spans="2:2">
      <c r="B157" s="1"/>
    </row>
    <row r="158" spans="2:2">
      <c r="B158" s="1"/>
    </row>
    <row r="159" spans="2:2">
      <c r="B159" s="1"/>
    </row>
    <row r="160" spans="2:2">
      <c r="B160" s="1"/>
    </row>
    <row r="161" spans="2:2">
      <c r="B161" s="1"/>
    </row>
    <row r="162" spans="2:2">
      <c r="B162" s="1"/>
    </row>
    <row r="163" spans="2:2">
      <c r="B163" s="1"/>
    </row>
    <row r="164" spans="2:2">
      <c r="B164" s="1"/>
    </row>
    <row r="165" spans="2:2">
      <c r="B165" s="1"/>
    </row>
    <row r="166" spans="2:2">
      <c r="B166" s="1"/>
    </row>
    <row r="167" spans="2:2">
      <c r="B167" s="1"/>
    </row>
    <row r="168" spans="2:2">
      <c r="B168" s="1"/>
    </row>
    <row r="169" spans="2:2">
      <c r="B169" s="1"/>
    </row>
    <row r="170" spans="2:2">
      <c r="B170" s="1"/>
    </row>
    <row r="171" spans="2:2">
      <c r="B171" s="1"/>
    </row>
    <row r="172" spans="2:2">
      <c r="B172" s="1"/>
    </row>
    <row r="173" spans="2:2">
      <c r="B173" s="1"/>
    </row>
    <row r="174" spans="2:2">
      <c r="B174" s="1"/>
    </row>
    <row r="175" spans="2:2">
      <c r="B175" s="1"/>
    </row>
    <row r="176" spans="2:2">
      <c r="B176" s="1"/>
    </row>
    <row r="177" spans="2:2">
      <c r="B177" s="1"/>
    </row>
    <row r="178" spans="2:2">
      <c r="B178" s="1"/>
    </row>
    <row r="179" spans="2:2">
      <c r="B179" s="1"/>
    </row>
    <row r="180" spans="2:2">
      <c r="B180" s="1"/>
    </row>
    <row r="181" spans="2:2">
      <c r="B181" s="1"/>
    </row>
    <row r="182" spans="2:2">
      <c r="B182" s="1"/>
    </row>
    <row r="183" spans="2:2">
      <c r="B183" s="1"/>
    </row>
    <row r="184" spans="2:2">
      <c r="B184" s="1"/>
    </row>
    <row r="185" spans="2:2">
      <c r="B185" s="1"/>
    </row>
    <row r="186" spans="2:2">
      <c r="B186" s="1"/>
    </row>
    <row r="187" spans="2:2">
      <c r="B187" s="1"/>
    </row>
    <row r="188" spans="2:2">
      <c r="B188" s="1"/>
    </row>
  </sheetData>
  <sheetProtection selectLockedCells="1"/>
  <mergeCells count="20">
    <mergeCell ref="A1:E1"/>
    <mergeCell ref="G1:H1"/>
    <mergeCell ref="I1:J1"/>
    <mergeCell ref="H4:J4"/>
    <mergeCell ref="H5:J5"/>
    <mergeCell ref="H7:J7"/>
    <mergeCell ref="H8:J8"/>
    <mergeCell ref="G10:I10"/>
    <mergeCell ref="A12:E12"/>
    <mergeCell ref="F19:G19"/>
    <mergeCell ref="F20:G20"/>
    <mergeCell ref="G23:I23"/>
    <mergeCell ref="A13:A14"/>
    <mergeCell ref="A15:A16"/>
    <mergeCell ref="B13:B14"/>
    <mergeCell ref="B15:B16"/>
    <mergeCell ref="C13:E14"/>
    <mergeCell ref="C15:E16"/>
    <mergeCell ref="G2:H3"/>
    <mergeCell ref="I2:J3"/>
  </mergeCells>
  <conditionalFormatting sqref="F20:G20">
    <cfRule type="cellIs" dxfId="0" priority="10" operator="equal">
      <formula>"Untested"</formula>
    </cfRule>
    <cfRule type="cellIs" dxfId="1" priority="11" operator="equal">
      <formula>"Fail"</formula>
    </cfRule>
    <cfRule type="cellIs" dxfId="2" priority="12" operator="equal">
      <formula>"Pass"</formula>
    </cfRule>
    <cfRule type="cellIs" dxfId="3" priority="13" operator="equal">
      <formula>"Pass"</formula>
    </cfRule>
  </conditionalFormatting>
  <conditionalFormatting sqref="D28">
    <cfRule type="cellIs" dxfId="2" priority="4" operator="equal">
      <formula>"Pass"</formula>
    </cfRule>
    <cfRule type="cellIs" dxfId="0" priority="5" operator="equal">
      <formula>"Untested"</formula>
    </cfRule>
    <cfRule type="cellIs" dxfId="1" priority="6" operator="equal">
      <formula>"Fail"</formula>
    </cfRule>
  </conditionalFormatting>
  <conditionalFormatting sqref="D29">
    <cfRule type="cellIs" dxfId="2" priority="1" operator="equal">
      <formula>"Pass"</formula>
    </cfRule>
    <cfRule type="cellIs" dxfId="0" priority="2" operator="equal">
      <formula>"Untested"</formula>
    </cfRule>
    <cfRule type="cellIs" dxfId="1" priority="3" operator="equal">
      <formula>"Fail"</formula>
    </cfRule>
  </conditionalFormatting>
  <conditionalFormatting sqref="D19:D27">
    <cfRule type="cellIs" dxfId="2" priority="7" operator="equal">
      <formula>"Pass"</formula>
    </cfRule>
    <cfRule type="cellIs" dxfId="0" priority="8" operator="equal">
      <formula>"Untested"</formula>
    </cfRule>
    <cfRule type="cellIs" dxfId="1" priority="9" operator="equal">
      <formula>"Fail"</formula>
    </cfRule>
  </conditionalFormatting>
  <pageMargins left="0.699305555555556" right="0.699305555555556" top="0.75" bottom="0.75" header="0.3" footer="0.3"/>
  <pageSetup paperSize="1" scale="59" orientation="landscape"/>
  <headerFooter/>
  <colBreaks count="1" manualBreakCount="1">
    <brk id="15" max="37" man="1"/>
  </colBreaks>
  <drawing r:id="rId1"/>
  <legacyDrawing r:id="rId2"/>
  <controls>
    <mc:AlternateContent xmlns:mc="http://schemas.openxmlformats.org/markup-compatibility/2006">
      <mc:Choice Requires="x14">
        <control shapeId="1030" r:id="rId3">
          <controlPr defaultSize="0" r:id="rId4">
            <anchor moveWithCells="1">
              <from>
                <xdr:col>2</xdr:col>
                <xdr:colOff>411480</xdr:colOff>
                <xdr:row>18</xdr:row>
                <xdr:rowOff>68580</xdr:rowOff>
              </from>
              <to>
                <xdr:col>2</xdr:col>
                <xdr:colOff>952500</xdr:colOff>
                <xdr:row>18</xdr:row>
                <xdr:rowOff>525780</xdr:rowOff>
              </to>
            </anchor>
          </controlPr>
        </control>
      </mc:Choice>
      <mc:Fallback>
        <control shapeId="1030" r:id="rId3"/>
      </mc:Fallback>
    </mc:AlternateContent>
    <mc:AlternateContent xmlns:mc="http://schemas.openxmlformats.org/markup-compatibility/2006">
      <mc:Choice Requires="x14">
        <control shapeId="1031" r:id="rId5">
          <controlPr defaultSize="0" r:id="rId6">
            <anchor moveWithCells="1">
              <from>
                <xdr:col>4</xdr:col>
                <xdr:colOff>38100</xdr:colOff>
                <xdr:row>20</xdr:row>
                <xdr:rowOff>449580</xdr:rowOff>
              </from>
              <to>
                <xdr:col>5</xdr:col>
                <xdr:colOff>1173480</xdr:colOff>
                <xdr:row>22</xdr:row>
                <xdr:rowOff>350520</xdr:rowOff>
              </to>
            </anchor>
          </controlPr>
        </control>
      </mc:Choice>
      <mc:Fallback>
        <control shapeId="1031" r:id="rId5"/>
      </mc:Fallback>
    </mc:AlternateContent>
    <mc:AlternateContent xmlns:mc="http://schemas.openxmlformats.org/markup-compatibility/2006">
      <mc:Choice Requires="x14">
        <control shapeId="1032" r:id="rId7">
          <controlPr defaultSize="0" r:id="rId8">
            <anchor moveWithCells="1">
              <from>
                <xdr:col>2</xdr:col>
                <xdr:colOff>403860</xdr:colOff>
                <xdr:row>19</xdr:row>
                <xdr:rowOff>60960</xdr:rowOff>
              </from>
              <to>
                <xdr:col>2</xdr:col>
                <xdr:colOff>1135380</xdr:colOff>
                <xdr:row>20</xdr:row>
                <xdr:rowOff>167640</xdr:rowOff>
              </to>
            </anchor>
          </controlPr>
        </control>
      </mc:Choice>
      <mc:Fallback>
        <control shapeId="1032" r:id="rId7"/>
      </mc:Fallback>
    </mc:AlternateContent>
    <mc:AlternateContent xmlns:mc="http://schemas.openxmlformats.org/markup-compatibility/2006">
      <mc:Choice Requires="x14">
        <control shapeId="1033" r:id="rId9">
          <controlPr defaultSize="0" r:id="rId10">
            <anchor moveWithCells="1">
              <from>
                <xdr:col>2</xdr:col>
                <xdr:colOff>388620</xdr:colOff>
                <xdr:row>20</xdr:row>
                <xdr:rowOff>38100</xdr:rowOff>
              </from>
              <to>
                <xdr:col>2</xdr:col>
                <xdr:colOff>1158240</xdr:colOff>
                <xdr:row>20</xdr:row>
                <xdr:rowOff>350520</xdr:rowOff>
              </to>
            </anchor>
          </controlPr>
        </control>
      </mc:Choice>
      <mc:Fallback>
        <control shapeId="1033" r:id="rId9"/>
      </mc:Fallback>
    </mc:AlternateContent>
    <mc:AlternateContent xmlns:mc="http://schemas.openxmlformats.org/markup-compatibility/2006">
      <mc:Choice Requires="x14">
        <control shapeId="1034" r:id="rId11">
          <controlPr defaultSize="0" r:id="rId10">
            <anchor moveWithCells="1">
              <from>
                <xdr:col>2</xdr:col>
                <xdr:colOff>381000</xdr:colOff>
                <xdr:row>21</xdr:row>
                <xdr:rowOff>22860</xdr:rowOff>
              </from>
              <to>
                <xdr:col>2</xdr:col>
                <xdr:colOff>1150620</xdr:colOff>
                <xdr:row>21</xdr:row>
                <xdr:rowOff>335280</xdr:rowOff>
              </to>
            </anchor>
          </controlPr>
        </control>
      </mc:Choice>
      <mc:Fallback>
        <control shapeId="1034" r:id="rId11"/>
      </mc:Fallback>
    </mc:AlternateContent>
    <mc:AlternateContent xmlns:mc="http://schemas.openxmlformats.org/markup-compatibility/2006">
      <mc:Choice Requires="x14">
        <control shapeId="1035" r:id="rId12">
          <controlPr defaultSize="0" r:id="rId10">
            <anchor moveWithCells="1">
              <from>
                <xdr:col>2</xdr:col>
                <xdr:colOff>373380</xdr:colOff>
                <xdr:row>22</xdr:row>
                <xdr:rowOff>38100</xdr:rowOff>
              </from>
              <to>
                <xdr:col>2</xdr:col>
                <xdr:colOff>1143000</xdr:colOff>
                <xdr:row>22</xdr:row>
                <xdr:rowOff>350520</xdr:rowOff>
              </to>
            </anchor>
          </controlPr>
        </control>
      </mc:Choice>
      <mc:Fallback>
        <control shapeId="1035" r:id="rId12"/>
      </mc:Fallback>
    </mc:AlternateContent>
    <mc:AlternateContent xmlns:mc="http://schemas.openxmlformats.org/markup-compatibility/2006">
      <mc:Choice Requires="x14">
        <control shapeId="1036" r:id="rId13">
          <controlPr defaultSize="0" r:id="rId10">
            <anchor moveWithCells="1">
              <from>
                <xdr:col>2</xdr:col>
                <xdr:colOff>403860</xdr:colOff>
                <xdr:row>23</xdr:row>
                <xdr:rowOff>22860</xdr:rowOff>
              </from>
              <to>
                <xdr:col>2</xdr:col>
                <xdr:colOff>1173480</xdr:colOff>
                <xdr:row>23</xdr:row>
                <xdr:rowOff>335280</xdr:rowOff>
              </to>
            </anchor>
          </controlPr>
        </control>
      </mc:Choice>
      <mc:Fallback>
        <control shapeId="1036" r:id="rId13"/>
      </mc:Fallback>
    </mc:AlternateContent>
    <mc:AlternateContent xmlns:mc="http://schemas.openxmlformats.org/markup-compatibility/2006">
      <mc:Choice Requires="x14">
        <control shapeId="1037" r:id="rId14">
          <controlPr defaultSize="0" r:id="rId15">
            <anchor moveWithCells="1">
              <from>
                <xdr:col>2</xdr:col>
                <xdr:colOff>381000</xdr:colOff>
                <xdr:row>24</xdr:row>
                <xdr:rowOff>30480</xdr:rowOff>
              </from>
              <to>
                <xdr:col>2</xdr:col>
                <xdr:colOff>1150620</xdr:colOff>
                <xdr:row>24</xdr:row>
                <xdr:rowOff>426720</xdr:rowOff>
              </to>
            </anchor>
          </controlPr>
        </control>
      </mc:Choice>
      <mc:Fallback>
        <control shapeId="1037" r:id="rId14"/>
      </mc:Fallback>
    </mc:AlternateContent>
    <mc:AlternateContent xmlns:mc="http://schemas.openxmlformats.org/markup-compatibility/2006">
      <mc:Choice Requires="x14">
        <control shapeId="1038" r:id="rId16">
          <controlPr defaultSize="0" r:id="rId17">
            <anchor moveWithCells="1">
              <from>
                <xdr:col>2</xdr:col>
                <xdr:colOff>381000</xdr:colOff>
                <xdr:row>25</xdr:row>
                <xdr:rowOff>22860</xdr:rowOff>
              </from>
              <to>
                <xdr:col>2</xdr:col>
                <xdr:colOff>1150620</xdr:colOff>
                <xdr:row>25</xdr:row>
                <xdr:rowOff>434340</xdr:rowOff>
              </to>
            </anchor>
          </controlPr>
        </control>
      </mc:Choice>
      <mc:Fallback>
        <control shapeId="1038" r:id="rId16"/>
      </mc:Fallback>
    </mc:AlternateContent>
    <mc:AlternateContent xmlns:mc="http://schemas.openxmlformats.org/markup-compatibility/2006">
      <mc:Choice Requires="x14">
        <control shapeId="1040" r:id="rId18">
          <controlPr defaultSize="0" r:id="rId19">
            <anchor moveWithCells="1">
              <from>
                <xdr:col>5</xdr:col>
                <xdr:colOff>0</xdr:colOff>
                <xdr:row>17</xdr:row>
                <xdr:rowOff>381000</xdr:rowOff>
              </from>
              <to>
                <xdr:col>6</xdr:col>
                <xdr:colOff>716280</xdr:colOff>
                <xdr:row>19</xdr:row>
                <xdr:rowOff>22860</xdr:rowOff>
              </to>
            </anchor>
          </controlPr>
        </control>
      </mc:Choice>
      <mc:Fallback>
        <control shapeId="1040" r:id="rId18"/>
      </mc:Fallback>
    </mc:AlternateContent>
    <mc:AlternateContent xmlns:mc="http://schemas.openxmlformats.org/markup-compatibility/2006">
      <mc:Choice Requires="x14">
        <control shapeId="1041" r:id="rId20">
          <controlPr defaultSize="0" r:id="rId21">
            <anchor moveWithCells="1">
              <from>
                <xdr:col>2</xdr:col>
                <xdr:colOff>350520</xdr:colOff>
                <xdr:row>27</xdr:row>
                <xdr:rowOff>60960</xdr:rowOff>
              </from>
              <to>
                <xdr:col>2</xdr:col>
                <xdr:colOff>1066800</xdr:colOff>
                <xdr:row>27</xdr:row>
                <xdr:rowOff>320040</xdr:rowOff>
              </to>
            </anchor>
          </controlPr>
        </control>
      </mc:Choice>
      <mc:Fallback>
        <control shapeId="1041" r:id="rId20"/>
      </mc:Fallback>
    </mc:AlternateContent>
    <mc:AlternateContent xmlns:mc="http://schemas.openxmlformats.org/markup-compatibility/2006">
      <mc:Choice Requires="x14">
        <control shapeId="1042" r:id="rId22">
          <controlPr defaultSize="0" r:id="rId21">
            <anchor moveWithCells="1">
              <from>
                <xdr:col>2</xdr:col>
                <xdr:colOff>342900</xdr:colOff>
                <xdr:row>28</xdr:row>
                <xdr:rowOff>99060</xdr:rowOff>
              </from>
              <to>
                <xdr:col>2</xdr:col>
                <xdr:colOff>1059180</xdr:colOff>
                <xdr:row>29</xdr:row>
                <xdr:rowOff>167640</xdr:rowOff>
              </to>
            </anchor>
          </controlPr>
        </control>
      </mc:Choice>
      <mc:Fallback>
        <control shapeId="1042" r:id="rId2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O47"/>
  <sheetViews>
    <sheetView tabSelected="1" topLeftCell="A15" workbookViewId="0">
      <selection activeCell="K25" sqref="K25"/>
    </sheetView>
  </sheetViews>
  <sheetFormatPr defaultColWidth="9.10909090909091" defaultRowHeight="14.5"/>
  <cols>
    <col min="1" max="1" width="9.10909090909091" style="1"/>
    <col min="2" max="2" width="18.4454545454545" style="1" customWidth="1"/>
    <col min="3" max="3" width="15" style="1" customWidth="1"/>
    <col min="4" max="4" width="12.3363636363636" style="1" customWidth="1"/>
    <col min="5" max="9" width="11.3363636363636" style="1" customWidth="1"/>
    <col min="10" max="10" width="14.1090909090909" style="1" customWidth="1"/>
    <col min="11" max="16384" width="9.10909090909091" style="1"/>
  </cols>
  <sheetData>
    <row r="1" ht="31" spans="1:9">
      <c r="A1" s="2"/>
      <c r="B1" s="3"/>
      <c r="C1" s="3" t="s">
        <v>43</v>
      </c>
      <c r="D1" s="4" t="s">
        <v>44</v>
      </c>
      <c r="E1" s="4" t="s">
        <v>45</v>
      </c>
      <c r="F1" s="4" t="s">
        <v>46</v>
      </c>
      <c r="G1" s="4" t="s">
        <v>47</v>
      </c>
      <c r="H1" s="4" t="s">
        <v>48</v>
      </c>
      <c r="I1" s="31" t="s">
        <v>49</v>
      </c>
    </row>
    <row r="2" ht="27" customHeight="1" spans="1:9">
      <c r="A2" s="5">
        <v>1</v>
      </c>
      <c r="B2" s="6" t="s">
        <v>50</v>
      </c>
      <c r="C2" s="7" t="s">
        <v>51</v>
      </c>
      <c r="D2" s="7"/>
      <c r="E2" s="7"/>
      <c r="F2" s="7"/>
      <c r="G2" s="7"/>
      <c r="H2" s="7"/>
      <c r="I2" s="32"/>
    </row>
    <row r="3" ht="27" customHeight="1" spans="1:9">
      <c r="A3" s="5">
        <v>2</v>
      </c>
      <c r="B3" s="6" t="s">
        <v>52</v>
      </c>
      <c r="C3" s="7" t="s">
        <v>51</v>
      </c>
      <c r="D3" s="7"/>
      <c r="E3" s="7"/>
      <c r="F3" s="7"/>
      <c r="G3" s="7"/>
      <c r="H3" s="7"/>
      <c r="I3" s="32"/>
    </row>
    <row r="4" ht="27" customHeight="1" spans="1:9">
      <c r="A4" s="5">
        <v>3</v>
      </c>
      <c r="B4" s="6" t="s">
        <v>53</v>
      </c>
      <c r="C4" s="7" t="s">
        <v>51</v>
      </c>
      <c r="D4" s="7"/>
      <c r="E4" s="7"/>
      <c r="F4" s="7"/>
      <c r="G4" s="7"/>
      <c r="H4" s="7"/>
      <c r="I4" s="32"/>
    </row>
    <row r="5" ht="32.25" customHeight="1" spans="1:9">
      <c r="A5" s="5">
        <v>4</v>
      </c>
      <c r="B5" s="6" t="s">
        <v>54</v>
      </c>
      <c r="C5" s="7" t="s">
        <v>55</v>
      </c>
      <c r="D5" s="7"/>
      <c r="E5" s="7"/>
      <c r="F5" s="7"/>
      <c r="G5" s="7"/>
      <c r="H5" s="7"/>
      <c r="I5" s="32"/>
    </row>
    <row r="6" spans="1:9">
      <c r="A6" s="5">
        <v>5</v>
      </c>
      <c r="B6" s="6" t="s">
        <v>56</v>
      </c>
      <c r="C6" s="7" t="s">
        <v>57</v>
      </c>
      <c r="D6" s="7"/>
      <c r="E6" s="7"/>
      <c r="F6" s="7"/>
      <c r="G6" s="7"/>
      <c r="H6" s="7"/>
      <c r="I6" s="32"/>
    </row>
    <row r="7" spans="1:9">
      <c r="A7" s="5">
        <v>6</v>
      </c>
      <c r="B7" s="6" t="s">
        <v>58</v>
      </c>
      <c r="C7" s="7" t="s">
        <v>51</v>
      </c>
      <c r="D7" s="7"/>
      <c r="E7" s="7"/>
      <c r="F7" s="7"/>
      <c r="G7" s="7"/>
      <c r="H7" s="7"/>
      <c r="I7" s="32"/>
    </row>
    <row r="8" spans="1:9">
      <c r="A8" s="5">
        <v>7</v>
      </c>
      <c r="B8" s="6" t="s">
        <v>59</v>
      </c>
      <c r="C8" s="7" t="s">
        <v>60</v>
      </c>
      <c r="D8" s="7">
        <v>-49</v>
      </c>
      <c r="E8" s="7">
        <v>-40</v>
      </c>
      <c r="F8" s="7"/>
      <c r="G8" s="7"/>
      <c r="H8" s="7">
        <v>-67</v>
      </c>
      <c r="I8" s="32">
        <v>-50</v>
      </c>
    </row>
    <row r="9" ht="30.75" customHeight="1" spans="1:9">
      <c r="A9" s="5">
        <v>8</v>
      </c>
      <c r="B9" s="8" t="s">
        <v>61</v>
      </c>
      <c r="C9" s="7">
        <v>0.0029</v>
      </c>
      <c r="D9" s="7"/>
      <c r="E9" s="7"/>
      <c r="F9" s="7"/>
      <c r="G9" s="7"/>
      <c r="H9" s="7"/>
      <c r="I9" s="7"/>
    </row>
    <row r="10" ht="30.75" customHeight="1" spans="1:9">
      <c r="A10" s="5">
        <v>9</v>
      </c>
      <c r="B10" s="6" t="s">
        <v>62</v>
      </c>
      <c r="C10" s="7">
        <v>-65.52</v>
      </c>
      <c r="D10" s="7"/>
      <c r="E10" s="7"/>
      <c r="F10" s="7"/>
      <c r="G10" s="7"/>
      <c r="H10" s="7"/>
      <c r="I10" s="7"/>
    </row>
    <row r="11" ht="29" spans="1:9">
      <c r="A11" s="5">
        <v>10</v>
      </c>
      <c r="B11" s="6" t="s">
        <v>63</v>
      </c>
      <c r="C11" s="7">
        <v>0.0305327</v>
      </c>
      <c r="D11" s="7"/>
      <c r="E11" s="7"/>
      <c r="F11" s="7"/>
      <c r="G11" s="7"/>
      <c r="H11" s="7"/>
      <c r="I11" s="7"/>
    </row>
    <row r="12" ht="30.75" customHeight="1" spans="1:9">
      <c r="A12" s="5">
        <v>11</v>
      </c>
      <c r="B12" s="6" t="s">
        <v>64</v>
      </c>
      <c r="C12" s="7">
        <v>-0.00012</v>
      </c>
      <c r="D12" s="7"/>
      <c r="E12" s="7"/>
      <c r="F12" s="7"/>
      <c r="G12" s="7"/>
      <c r="H12" s="7"/>
      <c r="I12" s="7"/>
    </row>
    <row r="13" ht="30.75" customHeight="1" spans="1:9">
      <c r="A13" s="5">
        <v>12</v>
      </c>
      <c r="B13" s="6" t="s">
        <v>65</v>
      </c>
      <c r="C13" s="7">
        <v>0</v>
      </c>
      <c r="D13" s="7"/>
      <c r="E13" s="7"/>
      <c r="F13" s="7"/>
      <c r="G13" s="7"/>
      <c r="H13" s="7"/>
      <c r="I13" s="7"/>
    </row>
    <row r="14" ht="30.75" customHeight="1" spans="1:9">
      <c r="A14" s="5">
        <v>13</v>
      </c>
      <c r="B14" s="6" t="s">
        <v>66</v>
      </c>
      <c r="C14" s="7">
        <v>0.65019</v>
      </c>
      <c r="D14" s="7"/>
      <c r="E14" s="7"/>
      <c r="F14" s="7"/>
      <c r="G14" s="7"/>
      <c r="H14" s="7"/>
      <c r="I14" s="7"/>
    </row>
    <row r="15" ht="30.75" customHeight="1" spans="1:9">
      <c r="A15" s="5">
        <v>14</v>
      </c>
      <c r="B15" s="6" t="s">
        <v>67</v>
      </c>
      <c r="C15" s="7">
        <v>2.6</v>
      </c>
      <c r="D15" s="7"/>
      <c r="E15" s="7"/>
      <c r="F15" s="7"/>
      <c r="G15" s="7"/>
      <c r="H15" s="7"/>
      <c r="I15" s="7"/>
    </row>
    <row r="16" ht="30.75" customHeight="1" spans="1:9">
      <c r="A16" s="5">
        <v>15</v>
      </c>
      <c r="B16" s="6" t="s">
        <v>68</v>
      </c>
      <c r="C16" s="7" t="s">
        <v>51</v>
      </c>
      <c r="D16" s="7"/>
      <c r="E16" s="7"/>
      <c r="F16" s="7"/>
      <c r="G16" s="7"/>
      <c r="H16" s="7"/>
      <c r="I16" s="32"/>
    </row>
    <row r="17" ht="29" spans="1:9">
      <c r="A17" s="5">
        <v>16</v>
      </c>
      <c r="B17" s="6" t="s">
        <v>69</v>
      </c>
      <c r="C17" s="9">
        <v>26</v>
      </c>
      <c r="D17" s="7"/>
      <c r="E17" s="7"/>
      <c r="F17" s="7"/>
      <c r="G17" s="7"/>
      <c r="H17" s="7"/>
      <c r="I17" s="32"/>
    </row>
    <row r="18" ht="44.25" spans="1:9">
      <c r="A18" s="10">
        <v>17</v>
      </c>
      <c r="B18" s="11" t="s">
        <v>70</v>
      </c>
      <c r="C18" s="12"/>
      <c r="D18" s="12"/>
      <c r="E18" s="12"/>
      <c r="F18" s="12"/>
      <c r="G18" s="12"/>
      <c r="H18" s="12"/>
      <c r="I18" s="33"/>
    </row>
    <row r="20" ht="15.25"/>
    <row r="21" ht="15.5" spans="2:10">
      <c r="B21" s="2"/>
      <c r="C21" s="3" t="s">
        <v>20</v>
      </c>
      <c r="D21" s="4" t="s">
        <v>71</v>
      </c>
      <c r="E21" s="4" t="s">
        <v>44</v>
      </c>
      <c r="F21" s="4" t="s">
        <v>45</v>
      </c>
      <c r="G21" s="4" t="s">
        <v>46</v>
      </c>
      <c r="H21" s="4" t="s">
        <v>47</v>
      </c>
      <c r="I21" s="4" t="s">
        <v>48</v>
      </c>
      <c r="J21" s="31" t="s">
        <v>49</v>
      </c>
    </row>
    <row r="22" spans="1:15">
      <c r="A22" s="1">
        <v>18</v>
      </c>
      <c r="B22" s="13" t="s">
        <v>72</v>
      </c>
      <c r="C22" s="7">
        <v>13800</v>
      </c>
      <c r="D22" s="7"/>
      <c r="E22" s="7"/>
      <c r="F22" s="7"/>
      <c r="G22" s="7"/>
      <c r="H22" s="7"/>
      <c r="I22" s="7"/>
      <c r="J22" s="32"/>
      <c r="O22" s="34"/>
    </row>
    <row r="23" spans="1:10">
      <c r="A23" s="1">
        <v>19</v>
      </c>
      <c r="B23" s="13" t="s">
        <v>73</v>
      </c>
      <c r="C23" s="7">
        <v>120</v>
      </c>
      <c r="D23" s="7"/>
      <c r="E23" s="7"/>
      <c r="F23" s="7"/>
      <c r="G23" s="7"/>
      <c r="H23" s="7"/>
      <c r="I23" s="7"/>
      <c r="J23" s="32"/>
    </row>
    <row r="24" spans="1:10">
      <c r="A24" s="1">
        <v>20</v>
      </c>
      <c r="B24" s="13" t="s">
        <v>74</v>
      </c>
      <c r="C24" s="7" t="s">
        <v>75</v>
      </c>
      <c r="D24" s="7"/>
      <c r="E24" s="7"/>
      <c r="F24" s="7"/>
      <c r="G24" s="7"/>
      <c r="H24" s="7"/>
      <c r="I24" s="7"/>
      <c r="J24" s="32"/>
    </row>
    <row r="25" spans="1:10">
      <c r="A25" s="1">
        <v>21</v>
      </c>
      <c r="B25" s="14" t="s">
        <v>76</v>
      </c>
      <c r="C25" s="15">
        <v>1490400</v>
      </c>
      <c r="D25" s="15"/>
      <c r="E25" s="16"/>
      <c r="F25" s="16"/>
      <c r="G25" s="16"/>
      <c r="H25" s="16"/>
      <c r="I25" s="16"/>
      <c r="J25" s="35"/>
    </row>
    <row r="26" ht="15.25" spans="1:10">
      <c r="A26" s="1">
        <v>22</v>
      </c>
      <c r="B26" s="14" t="s">
        <v>77</v>
      </c>
      <c r="C26" s="15" t="s">
        <v>51</v>
      </c>
      <c r="D26" s="15" t="s">
        <v>51</v>
      </c>
      <c r="E26" s="16" t="str">
        <f>IF(OR(E22="",E23="",E25=""),"Untested",IF(AND(E22&gt;(0.999*$C$22),E22&lt;(1.001*$C$22),E23&gt;(0.999*$C$23),E23&lt;(1.001*$C$23),E25&gt;(0.995*$C$25),E25&lt;(1.005*$C$25)),"Pass","Fail"))</f>
        <v>Untested</v>
      </c>
      <c r="F26" s="16" t="str">
        <f t="shared" ref="F26:J26" si="0">IF(OR(F22="",F23="",F25=""),"Untested",IF(AND(F22&gt;(0.999*$C$22),F22&lt;(1.001*$C$22),F23&gt;(0.999*$C$23),F23&lt;(1.001*$C$23),F25&gt;(0.995*$C$25),F25&lt;(1.005*$C$25)),"Pass","Fail"))</f>
        <v>Untested</v>
      </c>
      <c r="G26" s="16" t="str">
        <f t="shared" si="0"/>
        <v>Untested</v>
      </c>
      <c r="H26" s="16" t="str">
        <f t="shared" si="0"/>
        <v>Untested</v>
      </c>
      <c r="I26" s="16" t="str">
        <f t="shared" si="0"/>
        <v>Untested</v>
      </c>
      <c r="J26" s="16" t="str">
        <f t="shared" si="0"/>
        <v>Untested</v>
      </c>
    </row>
    <row r="27" ht="15.25" spans="1:10">
      <c r="A27" s="1">
        <v>23</v>
      </c>
      <c r="B27" s="13" t="s">
        <v>72</v>
      </c>
      <c r="C27" s="17">
        <v>7200</v>
      </c>
      <c r="D27" s="17"/>
      <c r="E27" s="17"/>
      <c r="F27" s="17"/>
      <c r="G27" s="17"/>
      <c r="H27" s="17"/>
      <c r="I27" s="17"/>
      <c r="J27" s="36"/>
    </row>
    <row r="28" spans="1:10">
      <c r="A28" s="1">
        <v>24</v>
      </c>
      <c r="B28" s="13" t="s">
        <v>73</v>
      </c>
      <c r="C28" s="7">
        <v>60</v>
      </c>
      <c r="D28" s="7"/>
      <c r="E28" s="7"/>
      <c r="F28" s="7"/>
      <c r="G28" s="7"/>
      <c r="H28" s="7"/>
      <c r="I28" s="7"/>
      <c r="J28" s="32"/>
    </row>
    <row r="29" spans="1:10">
      <c r="A29" s="1">
        <v>25</v>
      </c>
      <c r="B29" s="13" t="s">
        <v>74</v>
      </c>
      <c r="C29" s="7">
        <v>0.9</v>
      </c>
      <c r="D29" s="7"/>
      <c r="E29" s="7"/>
      <c r="F29" s="7"/>
      <c r="G29" s="7"/>
      <c r="H29" s="7"/>
      <c r="I29" s="7"/>
      <c r="J29" s="32"/>
    </row>
    <row r="30" ht="15.25" spans="1:10">
      <c r="A30" s="1">
        <v>26</v>
      </c>
      <c r="B30" s="14" t="s">
        <v>76</v>
      </c>
      <c r="C30" s="15">
        <v>388800</v>
      </c>
      <c r="D30" s="15"/>
      <c r="E30" s="15"/>
      <c r="F30" s="15"/>
      <c r="G30" s="15"/>
      <c r="H30" s="15"/>
      <c r="I30" s="15"/>
      <c r="J30" s="37"/>
    </row>
    <row r="31" ht="16" spans="1:10">
      <c r="A31" s="1">
        <v>27</v>
      </c>
      <c r="B31" s="18" t="s">
        <v>77</v>
      </c>
      <c r="C31" s="12" t="s">
        <v>51</v>
      </c>
      <c r="D31" s="19" t="s">
        <v>51</v>
      </c>
      <c r="E31" s="16" t="str">
        <f>IF(OR(E27="",E28="",E30=""),"Untested",IF(AND(E27&gt;(0.999*$C$27),E27&lt;(1.001*$C$27),E28&gt;(0.999*$C$28),E28&lt;(1.001*$C$28),E30&gt;(0.995*$C$30),E30&lt;(1.005*$C$30)),"Pass","Fail"))</f>
        <v>Untested</v>
      </c>
      <c r="F31" s="16" t="str">
        <f t="shared" ref="F31:J31" si="1">IF(OR(F27="",F28="",F30=""),"Untested",IF(AND(F27&gt;(0.999*$C$27),F27&lt;(1.001*$C$27),F28&gt;(0.999*$C$28),F28&lt;(1.001*$C$28),F30&gt;(0.995*$C$30),F30&lt;(1.005*$C$30)),"Pass","Fail"))</f>
        <v>Untested</v>
      </c>
      <c r="G31" s="16" t="str">
        <f t="shared" si="1"/>
        <v>Untested</v>
      </c>
      <c r="H31" s="16" t="str">
        <f t="shared" si="1"/>
        <v>Untested</v>
      </c>
      <c r="I31" s="16" t="str">
        <f t="shared" si="1"/>
        <v>Untested</v>
      </c>
      <c r="J31" s="16" t="str">
        <f t="shared" si="1"/>
        <v>Untested</v>
      </c>
    </row>
    <row r="32" ht="15.25" spans="2:2">
      <c r="B32" s="20"/>
    </row>
    <row r="33" ht="15.5" spans="2:9">
      <c r="B33" s="21"/>
      <c r="C33" s="3" t="s">
        <v>20</v>
      </c>
      <c r="D33" s="4" t="s">
        <v>44</v>
      </c>
      <c r="E33" s="4" t="s">
        <v>45</v>
      </c>
      <c r="F33" s="4" t="s">
        <v>46</v>
      </c>
      <c r="G33" s="4" t="s">
        <v>47</v>
      </c>
      <c r="H33" s="4" t="s">
        <v>48</v>
      </c>
      <c r="I33" s="31" t="s">
        <v>49</v>
      </c>
    </row>
    <row r="34" spans="1:9">
      <c r="A34" s="1">
        <v>28</v>
      </c>
      <c r="B34" s="13" t="s">
        <v>78</v>
      </c>
      <c r="C34" s="7">
        <v>0.025</v>
      </c>
      <c r="D34" s="7"/>
      <c r="E34" s="7"/>
      <c r="F34" s="7"/>
      <c r="G34" s="7"/>
      <c r="H34" s="7"/>
      <c r="I34" s="32"/>
    </row>
    <row r="35" spans="1:9">
      <c r="A35" s="1">
        <v>29</v>
      </c>
      <c r="B35" s="13" t="s">
        <v>79</v>
      </c>
      <c r="C35" s="7">
        <v>1.5</v>
      </c>
      <c r="D35" s="7"/>
      <c r="E35" s="7"/>
      <c r="F35" s="7"/>
      <c r="G35" s="7"/>
      <c r="H35" s="7"/>
      <c r="I35" s="32"/>
    </row>
    <row r="36" ht="29" spans="1:9">
      <c r="A36" s="1">
        <v>30</v>
      </c>
      <c r="B36" s="13" t="s">
        <v>80</v>
      </c>
      <c r="C36" s="7" t="s">
        <v>81</v>
      </c>
      <c r="D36" s="7"/>
      <c r="E36" s="7"/>
      <c r="F36" s="7"/>
      <c r="G36" s="7"/>
      <c r="H36" s="7"/>
      <c r="I36" s="32"/>
    </row>
    <row r="37" spans="1:9">
      <c r="A37" s="1">
        <v>31</v>
      </c>
      <c r="B37" s="13" t="s">
        <v>77</v>
      </c>
      <c r="C37" s="7" t="s">
        <v>51</v>
      </c>
      <c r="D37" s="22" t="str">
        <f>IF(OR(D34="",D35="",D36=""),"Untested",IF(AND(D34&gt;(0.95*$C$34),D34&lt;(1.05*$C$34),D35&gt;(0.8*$C$35),D35&lt;(1.2*$C$35),D36&gt;-45,D36&lt;45),"Pass","Fail"))</f>
        <v>Untested</v>
      </c>
      <c r="E37" s="22" t="str">
        <f t="shared" ref="E37:I37" si="2">IF(OR(E34="",E35="",E36=""),"Untested",IF(AND(E34&gt;(0.95*$C$34),E34&lt;(1.05*$C$34),E35&gt;(0.8*$C$35),E35&lt;(1.2*$C$35),E36&gt;-45,E36&lt;45),"Pass","Fail"))</f>
        <v>Untested</v>
      </c>
      <c r="F37" s="22" t="str">
        <f t="shared" si="2"/>
        <v>Untested</v>
      </c>
      <c r="G37" s="22" t="str">
        <f t="shared" si="2"/>
        <v>Untested</v>
      </c>
      <c r="H37" s="22" t="str">
        <f t="shared" si="2"/>
        <v>Untested</v>
      </c>
      <c r="I37" s="22" t="str">
        <f t="shared" si="2"/>
        <v>Untested</v>
      </c>
    </row>
    <row r="38" ht="30" customHeight="1" spans="1:9">
      <c r="A38" s="1">
        <v>32</v>
      </c>
      <c r="B38" s="13" t="s">
        <v>82</v>
      </c>
      <c r="C38" s="7" t="s">
        <v>51</v>
      </c>
      <c r="D38" s="7"/>
      <c r="E38" s="7"/>
      <c r="F38" s="7"/>
      <c r="G38" s="7"/>
      <c r="H38" s="7"/>
      <c r="I38" s="32"/>
    </row>
    <row r="39" ht="15.25" spans="1:9">
      <c r="A39" s="1">
        <v>33</v>
      </c>
      <c r="B39" s="23" t="s">
        <v>77</v>
      </c>
      <c r="C39" s="7" t="s">
        <v>51</v>
      </c>
      <c r="D39" s="22" t="str">
        <f>IF(OR(D38=""),"Untested",IF(D38="Yes","Pass","Fail"))</f>
        <v>Untested</v>
      </c>
      <c r="E39" s="22" t="str">
        <f t="shared" ref="E39:I39" si="3">IF(OR(E38=""),"Untested",IF(E38="Yes","Pass","Fail"))</f>
        <v>Untested</v>
      </c>
      <c r="F39" s="22" t="str">
        <f t="shared" si="3"/>
        <v>Untested</v>
      </c>
      <c r="G39" s="22" t="str">
        <f t="shared" si="3"/>
        <v>Untested</v>
      </c>
      <c r="H39" s="22" t="str">
        <f t="shared" si="3"/>
        <v>Untested</v>
      </c>
      <c r="I39" s="22" t="str">
        <f t="shared" si="3"/>
        <v>Untested</v>
      </c>
    </row>
    <row r="41" ht="15.25"/>
    <row r="42" ht="25.5" customHeight="1" spans="2:11">
      <c r="B42" s="24" t="s">
        <v>83</v>
      </c>
      <c r="C42" s="25"/>
      <c r="E42" s="26" t="s">
        <v>8</v>
      </c>
      <c r="F42" s="27"/>
      <c r="G42" s="27"/>
      <c r="H42" s="27"/>
      <c r="I42" s="27" t="s">
        <v>9</v>
      </c>
      <c r="J42" s="27"/>
      <c r="K42" s="38"/>
    </row>
    <row r="43" ht="31.5" customHeight="1" spans="1:11">
      <c r="A43" s="1">
        <v>34</v>
      </c>
      <c r="B43" s="1" t="s">
        <v>84</v>
      </c>
      <c r="C43" s="1"/>
      <c r="E43" s="28"/>
      <c r="F43" s="29"/>
      <c r="G43" s="29"/>
      <c r="H43" s="29"/>
      <c r="I43" s="39"/>
      <c r="J43" s="40"/>
      <c r="K43" s="41"/>
    </row>
    <row r="44" ht="23.25" customHeight="1" spans="1:11">
      <c r="A44" s="1">
        <v>35</v>
      </c>
      <c r="B44" s="1" t="s">
        <v>85</v>
      </c>
      <c r="C44" s="1"/>
      <c r="E44" s="30"/>
      <c r="F44" s="30"/>
      <c r="G44" s="30"/>
      <c r="H44" s="30"/>
      <c r="I44" s="30"/>
      <c r="J44" s="30"/>
      <c r="K44" s="30"/>
    </row>
    <row r="45" ht="24" customHeight="1" spans="1:11">
      <c r="A45" s="1">
        <v>36</v>
      </c>
      <c r="B45" s="1" t="s">
        <v>86</v>
      </c>
      <c r="C45" s="1"/>
      <c r="E45" s="26" t="s">
        <v>10</v>
      </c>
      <c r="F45" s="27"/>
      <c r="G45" s="27"/>
      <c r="H45" s="27"/>
      <c r="I45" s="27" t="s">
        <v>9</v>
      </c>
      <c r="J45" s="27"/>
      <c r="K45" s="38"/>
    </row>
    <row r="46" ht="32.25" customHeight="1" spans="5:11">
      <c r="E46" s="28"/>
      <c r="F46" s="29"/>
      <c r="G46" s="29"/>
      <c r="H46" s="29"/>
      <c r="I46" s="42"/>
      <c r="J46" s="40"/>
      <c r="K46" s="41"/>
    </row>
    <row r="47" ht="15.25"/>
  </sheetData>
  <mergeCells count="9">
    <mergeCell ref="B42:C42"/>
    <mergeCell ref="E42:H42"/>
    <mergeCell ref="I42:K42"/>
    <mergeCell ref="E43:H43"/>
    <mergeCell ref="I43:K43"/>
    <mergeCell ref="E45:H45"/>
    <mergeCell ref="I45:K45"/>
    <mergeCell ref="E46:H46"/>
    <mergeCell ref="I46:K46"/>
  </mergeCells>
  <conditionalFormatting sqref="D5:I5">
    <cfRule type="cellIs" dxfId="2" priority="21" operator="lessThan">
      <formula>25</formula>
    </cfRule>
  </conditionalFormatting>
  <conditionalFormatting sqref="D8:I8">
    <cfRule type="cellIs" dxfId="1" priority="18" operator="lessThan">
      <formula>-75</formula>
    </cfRule>
    <cfRule type="cellIs" dxfId="2" priority="19" operator="greaterThan">
      <formula>-75</formula>
    </cfRule>
  </conditionalFormatting>
  <conditionalFormatting sqref="D17:I17">
    <cfRule type="cellIs" dxfId="1" priority="1" operator="lessThan">
      <formula>$C$17-15</formula>
    </cfRule>
    <cfRule type="cellIs" dxfId="1" priority="2" operator="greaterThan">
      <formula>$C$17+15</formula>
    </cfRule>
    <cfRule type="cellIs" dxfId="2" priority="3" operator="between">
      <formula>$C$17-15</formula>
      <formula>$C$17+15</formula>
    </cfRule>
  </conditionalFormatting>
  <conditionalFormatting sqref="D36:I36">
    <cfRule type="cellIs" dxfId="2" priority="29" operator="equal">
      <formula>"Pass"</formula>
    </cfRule>
    <cfRule type="cellIs" dxfId="0" priority="30" operator="equal">
      <formula>"Untested"</formula>
    </cfRule>
    <cfRule type="cellIs" dxfId="1" priority="31" operator="equal">
      <formula>"Fail"</formula>
    </cfRule>
  </conditionalFormatting>
  <conditionalFormatting sqref="D37:I37">
    <cfRule type="cellIs" dxfId="2" priority="26" operator="equal">
      <formula>"Pass"</formula>
    </cfRule>
    <cfRule type="cellIs" dxfId="0" priority="27" operator="equal">
      <formula>"Untested"</formula>
    </cfRule>
    <cfRule type="cellIs" dxfId="1" priority="28" operator="equal">
      <formula>"Fail"</formula>
    </cfRule>
  </conditionalFormatting>
  <conditionalFormatting sqref="D39:I39">
    <cfRule type="cellIs" dxfId="2" priority="23" operator="equal">
      <formula>"Pass"</formula>
    </cfRule>
    <cfRule type="cellIs" dxfId="0" priority="24" operator="equal">
      <formula>"Untested"</formula>
    </cfRule>
    <cfRule type="cellIs" dxfId="1" priority="25" operator="equal">
      <formula>"Fail"</formula>
    </cfRule>
  </conditionalFormatting>
  <conditionalFormatting sqref="E26:J26 E31:J31">
    <cfRule type="cellIs" dxfId="2" priority="32" operator="equal">
      <formula>"Pass"</formula>
    </cfRule>
    <cfRule type="cellIs" dxfId="0" priority="33" operator="equal">
      <formula>"Untested"</formula>
    </cfRule>
    <cfRule type="cellIs" dxfId="1" priority="34" operator="equal">
      <formula>"Fail"</formula>
    </cfRule>
  </conditionalFormatting>
  <hyperlinks>
    <hyperlink ref="B9" r:id="rId1" display="Scale Raw Temp"/>
  </hyperlinks>
  <pageMargins left="0.699305555555556" right="0.699305555555556" top="0.75" bottom="0.75" header="0.3" footer="0.3"/>
  <pageSetup paperSize="1" scale="96" orientation="landscape"/>
  <headerFooter/>
  <rowBreaks count="1" manualBreakCount="1">
    <brk id="18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Company>Microsoft</Company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Collector</vt:lpstr>
      <vt:lpstr>Sensor(s)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Baker, Kevin R.</dc:creator>
  <cp:lastModifiedBy>charl</cp:lastModifiedBy>
  <dcterms:created xsi:type="dcterms:W3CDTF">2017-01-13T12:35:00Z</dcterms:created>
  <cp:lastPrinted>2017-01-13T16:59:00Z</cp:lastPrinted>
  <dcterms:modified xsi:type="dcterms:W3CDTF">2019-11-26T18:29:58Z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1033-10.2.0.7636</vt:lpwstr>
  </property>
</Properties>
</file>